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8_{426A7553-AEE1-4BBA-B0ED-9971E0592669}" xr6:coauthVersionLast="47" xr6:coauthVersionMax="47" xr10:uidLastSave="{00000000-0000-0000-0000-000000000000}"/>
  <bookViews>
    <workbookView xWindow="-120" yWindow="-16320" windowWidth="29040" windowHeight="15720"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11" l="1"/>
  <c r="E3" i="11"/>
  <c r="H7" i="11"/>
  <c r="E9" i="11" l="1"/>
  <c r="F9" i="11" s="1"/>
  <c r="E10" i="11" s="1"/>
  <c r="F10" i="11" s="1"/>
  <c r="E11" i="11" l="1"/>
  <c r="F11" i="11" s="1"/>
  <c r="E13" i="11" s="1"/>
  <c r="F13" i="11" s="1"/>
  <c r="E15" i="11" s="1"/>
  <c r="H20" i="11"/>
  <c r="I5" i="11"/>
  <c r="I6" i="11" s="1"/>
  <c r="H31" i="11"/>
  <c r="H30" i="11"/>
  <c r="H29" i="11"/>
  <c r="H28" i="11"/>
  <c r="H27" i="11"/>
  <c r="H26" i="11"/>
  <c r="H24" i="11"/>
  <c r="H8" i="11"/>
  <c r="F15" i="11" l="1"/>
  <c r="H15" i="11" s="1"/>
  <c r="E17" i="11"/>
  <c r="H9" i="11"/>
  <c r="F17" i="11" l="1"/>
  <c r="E18" i="11" s="1"/>
  <c r="F18" i="11" s="1"/>
  <c r="E19" i="11" s="1"/>
  <c r="F19" i="11" s="1"/>
  <c r="E21" i="11" s="1"/>
  <c r="H25" i="11"/>
  <c r="H10" i="11"/>
  <c r="H13" i="11"/>
  <c r="H12" i="11"/>
  <c r="J5" i="11"/>
  <c r="F21" i="11" l="1"/>
  <c r="H21" i="11" s="1"/>
  <c r="E23" i="11"/>
  <c r="H19" i="11"/>
  <c r="H18" i="11"/>
  <c r="K5" i="11"/>
  <c r="H23" i="11" l="1"/>
  <c r="F23" i="11"/>
  <c r="L5" i="11"/>
  <c r="M5" i="11" l="1"/>
  <c r="N5" i="11" l="1"/>
  <c r="O5" i="11" l="1"/>
  <c r="P5" i="11" l="1"/>
  <c r="P6" i="11" s="1"/>
  <c r="O6" i="11"/>
  <c r="N6" i="11"/>
  <c r="M6" i="11"/>
  <c r="L6" i="11"/>
  <c r="K6" i="11"/>
  <c r="J6" i="11"/>
  <c r="I4" i="11"/>
  <c r="H22" i="11" l="1"/>
  <c r="H11" i="11"/>
  <c r="P4" i="11"/>
  <c r="Q5" i="11"/>
  <c r="R5" i="11" l="1"/>
  <c r="S5" i="11" l="1"/>
  <c r="T5" i="11" l="1"/>
  <c r="U5" i="11" l="1"/>
  <c r="V5" i="11" l="1"/>
  <c r="W5" i="11" l="1"/>
  <c r="W6" i="11" s="1"/>
  <c r="V6" i="11"/>
  <c r="U6" i="11"/>
  <c r="T6" i="11"/>
  <c r="S6" i="11"/>
  <c r="R6" i="11"/>
  <c r="Q6" i="11"/>
  <c r="H17" i="11"/>
  <c r="H16" i="11"/>
  <c r="W4" i="11" l="1"/>
  <c r="X5" i="11"/>
  <c r="Y5" i="11" s="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l="1"/>
  <c r="BM5" i="11"/>
  <c r="BM6" i="11" s="1"/>
  <c r="BN5" i="11" l="1"/>
  <c r="BM4" i="11"/>
  <c r="BO5" i="11" l="1"/>
  <c r="BN6" i="11"/>
  <c r="BP5" i="11" l="1"/>
  <c r="BO6" i="11"/>
  <c r="BQ5" i="11" l="1"/>
  <c r="BP6" i="11"/>
  <c r="BR5" i="11" l="1"/>
  <c r="BQ6" i="11"/>
  <c r="BS5" i="11" l="1"/>
  <c r="BR6" i="11"/>
  <c r="BS6" i="11" l="1"/>
  <c r="BT5" i="11"/>
  <c r="BT6" i="11" s="1"/>
  <c r="BU5" i="11" l="1"/>
  <c r="BT4" i="11"/>
  <c r="BV5" i="11" l="1"/>
  <c r="BU6" i="11"/>
  <c r="BW5" i="11" l="1"/>
  <c r="BV6" i="11"/>
  <c r="BX5" i="11" l="1"/>
  <c r="BW6" i="11"/>
  <c r="BY5" i="11" l="1"/>
  <c r="BX6" i="11"/>
  <c r="BZ5" i="11" l="1"/>
  <c r="BY6" i="11"/>
  <c r="CA5" i="11" l="1"/>
  <c r="BZ6" i="11"/>
  <c r="CA6" i="11" l="1"/>
  <c r="CB5" i="11"/>
  <c r="CA4" i="11"/>
  <c r="CC5" i="11" l="1"/>
  <c r="CB6" i="11"/>
  <c r="CD5" i="11" l="1"/>
  <c r="CC6" i="11"/>
  <c r="CE5" i="11" l="1"/>
  <c r="CD6" i="11"/>
  <c r="CF5" i="11" l="1"/>
  <c r="CE6" i="11"/>
  <c r="CG5" i="11" l="1"/>
  <c r="CF6" i="11"/>
  <c r="CH5" i="11" l="1"/>
  <c r="CG6" i="11"/>
  <c r="CH6" i="11" l="1"/>
  <c r="CI5" i="11"/>
  <c r="CH4" i="11"/>
  <c r="CJ5" i="11" l="1"/>
  <c r="CI6" i="11"/>
  <c r="CK5" i="11" l="1"/>
  <c r="CJ6" i="11"/>
  <c r="CL5" i="11" l="1"/>
  <c r="CK6" i="11"/>
  <c r="CM5" i="11" l="1"/>
  <c r="CL6" i="11"/>
  <c r="CN5" i="11" l="1"/>
  <c r="CM6" i="11"/>
  <c r="CO5" i="11" l="1"/>
  <c r="CN6" i="11"/>
  <c r="CO6" i="11" l="1"/>
  <c r="CP5" i="11"/>
  <c r="CO4" i="11"/>
  <c r="CQ5" i="11" l="1"/>
  <c r="CP6" i="11"/>
  <c r="CR5" i="11" l="1"/>
  <c r="CQ6" i="11"/>
  <c r="CS5" i="11" l="1"/>
  <c r="CR6" i="11"/>
  <c r="CT5" i="11" l="1"/>
  <c r="CS6" i="11"/>
  <c r="CU5" i="11" l="1"/>
  <c r="CU6" i="11" s="1"/>
  <c r="CT6" i="11"/>
</calcChain>
</file>

<file path=xl/sharedStrings.xml><?xml version="1.0" encoding="utf-8"?>
<sst xmlns="http://schemas.openxmlformats.org/spreadsheetml/2006/main" count="75" uniqueCount="65">
  <si>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</si>
  <si>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</si>
  <si>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</si>
  <si>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</si>
  <si>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</si>
  <si>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</si>
  <si>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</si>
  <si>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</si>
  <si>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</si>
  <si>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</si>
  <si>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</si>
  <si>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</si>
  <si>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</si>
  <si>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</si>
  <si>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TÂCHE</t>
  </si>
  <si>
    <t>Tâche 1</t>
  </si>
  <si>
    <t>Tâche 2</t>
  </si>
  <si>
    <t>Tâche 3</t>
  </si>
  <si>
    <t>Tâche 4</t>
  </si>
  <si>
    <t>Tâche 5</t>
  </si>
  <si>
    <t>Titre Phase 4</t>
  </si>
  <si>
    <t>Insérez les nouvelle lignes au-dessus de celle-ci.</t>
  </si>
  <si>
    <t>Début du projet :</t>
  </si>
  <si>
    <t>Semaine d’affichage :</t>
  </si>
  <si>
    <t>ATTRIBUÉE
À</t>
  </si>
  <si>
    <t>Nom</t>
  </si>
  <si>
    <t>AVANCEMENT</t>
  </si>
  <si>
    <t>DÉBUT</t>
  </si>
  <si>
    <t>date</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</si>
  <si>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</si>
  <si>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</si>
  <si>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</si>
  <si>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</si>
  <si>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</si>
  <si>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</si>
  <si>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</si>
  <si>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</si>
  <si>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</si>
  <si>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</si>
  <si>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</si>
  <si>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</si>
  <si>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</si>
  <si>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</si>
  <si>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</si>
  <si>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</si>
  <si>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</si>
  <si>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GuidHéHo</t>
  </si>
  <si>
    <t>Team members:</t>
  </si>
  <si>
    <t>Mahmoud Bouate       Lucas Podevin</t>
  </si>
  <si>
    <t>Stage 1</t>
  </si>
  <si>
    <t>Team formation</t>
  </si>
  <si>
    <t>Brainstorming</t>
  </si>
  <si>
    <t>MVP</t>
  </si>
  <si>
    <t>Stage 2</t>
  </si>
  <si>
    <t>Planning establishment</t>
  </si>
  <si>
    <t>Stage 3</t>
  </si>
  <si>
    <t>Diagrams &amp; Reports</t>
  </si>
  <si>
    <t>Stage 4</t>
  </si>
  <si>
    <t>MVP Development</t>
  </si>
  <si>
    <t>Execution</t>
  </si>
  <si>
    <t>Technical Manual Review</t>
  </si>
  <si>
    <t>Stage 5</t>
  </si>
  <si>
    <t>Closure</t>
  </si>
  <si>
    <t>Stage 6</t>
  </si>
  <si>
    <t>Landing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</si>
</sst>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 numFmtId="172" formatCode="ddd\,\ d/mm/yyyy"/>
  </numFmts>
  <fonts count="3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5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F1DE"/>
        <bgColor indexed="64"/>
      </patternFill>
    </fill>
    <fill>
      <patternFill patternType="solid">
        <fgColor rgb="FFCCC0DA"/>
        <bgColor indexed="64"/>
      </patternFill>
    </fill>
    <fill>
      <patternFill patternType="solid">
        <fgColor theme="2" tint="-0.249977111117893"/>
        <bgColor indexed="64"/>
      </patternFill>
    </fill>
    <fill>
      <patternFill patternType="solid">
        <fgColor rgb="FFE4DFEC"/>
        <bgColor indexed="64"/>
      </patternFill>
    </fill>
    <fill>
      <patternFill patternType="solid">
        <fgColor theme="9" tint="0.59999389629810485"/>
        <bgColor indexed="64"/>
      </patternFill>
    </fill>
    <fill>
      <patternFill patternType="solid">
        <fgColor theme="9" tint="0.7999816888943144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1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NumberFormat="1"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NumberFormat="1"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NumberFormat="1"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NumberFormat="1" applyFill="1">
      <alignment horizontal="center" vertical="center"/>
    </xf>
    <xf numFmtId="167" fontId="9" fillId="0" borderId="2" xfId="10" applyNumberFormat="1">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72" fontId="9" fillId="0" borderId="3" xfId="9" applyNumberFormat="1">
      <alignment horizontal="center" vertical="center"/>
    </xf>
    <xf numFmtId="0" fontId="9" fillId="45" borderId="2" xfId="11" applyFill="1">
      <alignment horizontal="center" vertical="center"/>
    </xf>
    <xf numFmtId="0" fontId="9" fillId="45" borderId="2" xfId="12" applyFill="1">
      <alignment horizontal="left" vertical="center" indent="2"/>
    </xf>
    <xf numFmtId="9" fontId="5" fillId="45" borderId="2" xfId="2" applyFont="1" applyFill="1" applyBorder="1" applyAlignment="1">
      <alignment horizontal="center" vertical="center"/>
    </xf>
    <xf numFmtId="167" fontId="9" fillId="45" borderId="2" xfId="10" applyNumberFormat="1" applyFill="1">
      <alignment horizontal="center" vertical="center"/>
    </xf>
    <xf numFmtId="0" fontId="6" fillId="46" borderId="2" xfId="0" applyFont="1" applyFill="1" applyBorder="1" applyAlignment="1">
      <alignment horizontal="left" vertical="center" indent="1"/>
    </xf>
    <xf numFmtId="0" fontId="6" fillId="47" borderId="2" xfId="0" applyFont="1" applyFill="1" applyBorder="1" applyAlignment="1">
      <alignment horizontal="left" vertical="center" indent="1"/>
    </xf>
    <xf numFmtId="0" fontId="9" fillId="47" borderId="2" xfId="11" applyFill="1">
      <alignment horizontal="center" vertical="center"/>
    </xf>
    <xf numFmtId="9" fontId="5" fillId="47" borderId="2" xfId="2" applyFont="1" applyFill="1" applyBorder="1" applyAlignment="1">
      <alignment horizontal="center" vertical="center"/>
    </xf>
    <xf numFmtId="167" fontId="0" fillId="47" borderId="2" xfId="0" applyNumberFormat="1" applyFill="1" applyBorder="1" applyAlignment="1">
      <alignment horizontal="center" vertical="center"/>
    </xf>
    <xf numFmtId="167" fontId="5" fillId="47" borderId="2" xfId="0" applyNumberFormat="1" applyFont="1" applyFill="1" applyBorder="1" applyAlignment="1">
      <alignment horizontal="center" vertical="center"/>
    </xf>
    <xf numFmtId="0" fontId="9" fillId="48" borderId="2" xfId="12" applyFill="1">
      <alignment horizontal="left" vertical="center" indent="2"/>
    </xf>
    <xf numFmtId="0" fontId="9" fillId="48" borderId="2" xfId="11" applyFill="1">
      <alignment horizontal="center" vertical="center"/>
    </xf>
    <xf numFmtId="9" fontId="5" fillId="48" borderId="2" xfId="2" applyFont="1" applyFill="1" applyBorder="1" applyAlignment="1">
      <alignment horizontal="center" vertical="center"/>
    </xf>
    <xf numFmtId="167" fontId="9" fillId="48" borderId="2" xfId="10" applyNumberFormat="1" applyFill="1">
      <alignment horizontal="center" vertical="center"/>
    </xf>
    <xf numFmtId="0" fontId="6" fillId="49" borderId="2" xfId="0" applyFont="1" applyFill="1" applyBorder="1" applyAlignment="1">
      <alignment horizontal="left" vertical="center" indent="1"/>
    </xf>
    <xf numFmtId="0" fontId="9" fillId="49" borderId="2" xfId="11" applyFill="1">
      <alignment horizontal="center" vertical="center"/>
    </xf>
    <xf numFmtId="9" fontId="5" fillId="49" borderId="2" xfId="2" applyFont="1" applyFill="1" applyBorder="1" applyAlignment="1">
      <alignment horizontal="center" vertical="center"/>
    </xf>
    <xf numFmtId="167" fontId="0" fillId="49" borderId="2" xfId="0" applyNumberFormat="1" applyFill="1" applyBorder="1" applyAlignment="1">
      <alignment horizontal="center" vertical="center"/>
    </xf>
    <xf numFmtId="167" fontId="5" fillId="49" borderId="2" xfId="0" applyNumberFormat="1" applyFont="1" applyFill="1" applyBorder="1" applyAlignment="1">
      <alignment horizontal="center" vertical="center"/>
    </xf>
    <xf numFmtId="0" fontId="9" fillId="50" borderId="2" xfId="12" applyFill="1">
      <alignment horizontal="left" vertical="center" indent="2"/>
    </xf>
    <xf numFmtId="0" fontId="9" fillId="50" borderId="2" xfId="11" applyFill="1">
      <alignment horizontal="center" vertical="center"/>
    </xf>
    <xf numFmtId="9" fontId="5" fillId="50" borderId="2" xfId="2" applyFont="1" applyFill="1" applyBorder="1" applyAlignment="1">
      <alignment horizontal="center" vertical="center"/>
    </xf>
    <xf numFmtId="167" fontId="9" fillId="50" borderId="2" xfId="10" applyNumberFormat="1" applyFill="1">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4DFEC"/>
      <color rgb="FFCCC0DA"/>
      <color rgb="FFEBF1DE"/>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34"/>
  <sheetViews>
    <sheetView showGridLines="0" tabSelected="1" showRuler="0" zoomScaleNormal="100" zoomScalePageLayoutView="70" workbookViewId="0">
      <pane ySplit="6" topLeftCell="A7" activePane="bottomLeft" state="frozen"/>
      <selection pane="bottomLeft" activeCell="AE13" sqref="AE13"/>
    </sheetView>
  </sheetViews>
  <sheetFormatPr baseColWidth="10" defaultColWidth="9.109375" defaultRowHeight="30" customHeight="1" x14ac:dyDescent="0.3"/>
  <cols>
    <col min="1" max="1" width="2.6640625" style="45" customWidth="1"/>
    <col min="2" max="2" width="19.88671875" customWidth="1"/>
    <col min="3" max="3" width="32.88671875" customWidth="1"/>
    <col min="4" max="4" width="12.6640625" customWidth="1"/>
    <col min="5" max="5" width="10.44140625" style="5" customWidth="1"/>
    <col min="6" max="6" width="10.44140625" customWidth="1"/>
    <col min="7" max="7" width="2.6640625" customWidth="1"/>
    <col min="8" max="8" width="9.5546875" hidden="1" customWidth="1"/>
    <col min="9" max="64" width="2.5546875" customWidth="1"/>
    <col min="65" max="99" width="2.44140625" customWidth="1"/>
  </cols>
  <sheetData>
    <row r="1" spans="1:99" ht="30" customHeight="1" x14ac:dyDescent="0.55000000000000004">
      <c r="A1" s="46" t="s">
        <v>0</v>
      </c>
      <c r="B1" s="49" t="s">
        <v>46</v>
      </c>
      <c r="C1" s="1"/>
      <c r="D1" s="2"/>
      <c r="E1" s="4"/>
      <c r="F1" s="34"/>
      <c r="H1" s="2"/>
      <c r="I1" s="67"/>
    </row>
    <row r="2" spans="1:99" ht="30" customHeight="1" x14ac:dyDescent="0.35">
      <c r="A2" s="45" t="s">
        <v>1</v>
      </c>
      <c r="B2" s="50"/>
      <c r="I2" s="68"/>
    </row>
    <row r="3" spans="1:99" ht="30" customHeight="1" x14ac:dyDescent="0.3">
      <c r="A3" s="45" t="s">
        <v>2</v>
      </c>
      <c r="B3" s="51" t="s">
        <v>47</v>
      </c>
      <c r="C3" s="91" t="s">
        <v>22</v>
      </c>
      <c r="D3" s="92"/>
      <c r="E3" s="93">
        <f ca="1">TODAY()-8</f>
        <v>46132</v>
      </c>
      <c r="F3" s="93"/>
    </row>
    <row r="4" spans="1:99" ht="30" customHeight="1" x14ac:dyDescent="0.3">
      <c r="A4" s="46" t="s">
        <v>3</v>
      </c>
      <c r="B4" s="48" t="s">
        <v>48</v>
      </c>
      <c r="C4" s="91" t="s">
        <v>23</v>
      </c>
      <c r="D4" s="92"/>
      <c r="E4" s="7">
        <v>1</v>
      </c>
      <c r="I4" s="88">
        <f ca="1">I5</f>
        <v>46132</v>
      </c>
      <c r="J4" s="89"/>
      <c r="K4" s="89"/>
      <c r="L4" s="89"/>
      <c r="M4" s="89"/>
      <c r="N4" s="89"/>
      <c r="O4" s="90"/>
      <c r="P4" s="88">
        <f ca="1">P5</f>
        <v>46139</v>
      </c>
      <c r="Q4" s="89"/>
      <c r="R4" s="89"/>
      <c r="S4" s="89"/>
      <c r="T4" s="89"/>
      <c r="U4" s="89"/>
      <c r="V4" s="90"/>
      <c r="W4" s="88">
        <f ca="1">W5</f>
        <v>46146</v>
      </c>
      <c r="X4" s="89"/>
      <c r="Y4" s="89"/>
      <c r="Z4" s="89"/>
      <c r="AA4" s="89"/>
      <c r="AB4" s="89"/>
      <c r="AC4" s="90"/>
      <c r="AD4" s="88">
        <f ca="1">AD5</f>
        <v>46153</v>
      </c>
      <c r="AE4" s="89"/>
      <c r="AF4" s="89"/>
      <c r="AG4" s="89"/>
      <c r="AH4" s="89"/>
      <c r="AI4" s="89"/>
      <c r="AJ4" s="90"/>
      <c r="AK4" s="88">
        <f ca="1">AK5</f>
        <v>46160</v>
      </c>
      <c r="AL4" s="89"/>
      <c r="AM4" s="89"/>
      <c r="AN4" s="89"/>
      <c r="AO4" s="89"/>
      <c r="AP4" s="89"/>
      <c r="AQ4" s="90"/>
      <c r="AR4" s="88">
        <f ca="1">AR5</f>
        <v>46167</v>
      </c>
      <c r="AS4" s="89"/>
      <c r="AT4" s="89"/>
      <c r="AU4" s="89"/>
      <c r="AV4" s="89"/>
      <c r="AW4" s="89"/>
      <c r="AX4" s="90"/>
      <c r="AY4" s="88">
        <f ca="1">AY5</f>
        <v>46174</v>
      </c>
      <c r="AZ4" s="89"/>
      <c r="BA4" s="89"/>
      <c r="BB4" s="89"/>
      <c r="BC4" s="89"/>
      <c r="BD4" s="89"/>
      <c r="BE4" s="90"/>
      <c r="BF4" s="88">
        <f ca="1">BF5</f>
        <v>46181</v>
      </c>
      <c r="BG4" s="89"/>
      <c r="BH4" s="89"/>
      <c r="BI4" s="89"/>
      <c r="BJ4" s="89"/>
      <c r="BK4" s="89"/>
      <c r="BL4" s="90"/>
      <c r="BM4" s="88">
        <f ca="1">BM5</f>
        <v>46188</v>
      </c>
      <c r="BN4" s="89"/>
      <c r="BO4" s="89"/>
      <c r="BP4" s="89"/>
      <c r="BQ4" s="89"/>
      <c r="BR4" s="89"/>
      <c r="BS4" s="90"/>
      <c r="BT4" s="88">
        <f t="shared" ref="BT4" ca="1" si="0">BT5</f>
        <v>46195</v>
      </c>
      <c r="BU4" s="89"/>
      <c r="BV4" s="89"/>
      <c r="BW4" s="89"/>
      <c r="BX4" s="89"/>
      <c r="BY4" s="89"/>
      <c r="BZ4" s="90"/>
      <c r="CA4" s="88">
        <f t="shared" ref="CA4" ca="1" si="1">CA5</f>
        <v>46202</v>
      </c>
      <c r="CB4" s="89"/>
      <c r="CC4" s="89"/>
      <c r="CD4" s="89"/>
      <c r="CE4" s="89"/>
      <c r="CF4" s="89"/>
      <c r="CG4" s="90"/>
      <c r="CH4" s="88">
        <f t="shared" ref="CH4" ca="1" si="2">CH5</f>
        <v>46209</v>
      </c>
      <c r="CI4" s="89"/>
      <c r="CJ4" s="89"/>
      <c r="CK4" s="89"/>
      <c r="CL4" s="89"/>
      <c r="CM4" s="89"/>
      <c r="CN4" s="90"/>
      <c r="CO4" s="88">
        <f t="shared" ref="CO4" ca="1" si="3">CO5</f>
        <v>46216</v>
      </c>
      <c r="CP4" s="89"/>
      <c r="CQ4" s="89"/>
      <c r="CR4" s="89"/>
      <c r="CS4" s="89"/>
      <c r="CT4" s="89"/>
      <c r="CU4" s="90"/>
    </row>
    <row r="5" spans="1:99" ht="15" customHeight="1" x14ac:dyDescent="0.3">
      <c r="A5" s="46" t="s">
        <v>4</v>
      </c>
      <c r="B5" s="66"/>
      <c r="C5" s="66"/>
      <c r="D5" s="66"/>
      <c r="E5" s="66"/>
      <c r="F5" s="66"/>
      <c r="G5" s="66"/>
      <c r="I5" s="85">
        <f ca="1">Début_Projet-WEEKDAY(Début_Projet,1)+2+7*(Semaine_Affichage-1)</f>
        <v>46132</v>
      </c>
      <c r="J5" s="86">
        <f ca="1">I5+1</f>
        <v>46133</v>
      </c>
      <c r="K5" s="86">
        <f t="shared" ref="K5:AX5" ca="1" si="4">J5+1</f>
        <v>46134</v>
      </c>
      <c r="L5" s="86">
        <f t="shared" ca="1" si="4"/>
        <v>46135</v>
      </c>
      <c r="M5" s="86">
        <f t="shared" ca="1" si="4"/>
        <v>46136</v>
      </c>
      <c r="N5" s="86">
        <f t="shared" ca="1" si="4"/>
        <v>46137</v>
      </c>
      <c r="O5" s="87">
        <f t="shared" ca="1" si="4"/>
        <v>46138</v>
      </c>
      <c r="P5" s="85">
        <f ca="1">O5+1</f>
        <v>46139</v>
      </c>
      <c r="Q5" s="86">
        <f ca="1">P5+1</f>
        <v>46140</v>
      </c>
      <c r="R5" s="86">
        <f t="shared" ca="1" si="4"/>
        <v>46141</v>
      </c>
      <c r="S5" s="86">
        <f t="shared" ca="1" si="4"/>
        <v>46142</v>
      </c>
      <c r="T5" s="86">
        <f t="shared" ca="1" si="4"/>
        <v>46143</v>
      </c>
      <c r="U5" s="86">
        <f t="shared" ca="1" si="4"/>
        <v>46144</v>
      </c>
      <c r="V5" s="87">
        <f t="shared" ca="1" si="4"/>
        <v>46145</v>
      </c>
      <c r="W5" s="85">
        <f ca="1">V5+1</f>
        <v>46146</v>
      </c>
      <c r="X5" s="86">
        <f ca="1">W5+1</f>
        <v>46147</v>
      </c>
      <c r="Y5" s="86">
        <f t="shared" ca="1" si="4"/>
        <v>46148</v>
      </c>
      <c r="Z5" s="86">
        <f t="shared" ca="1" si="4"/>
        <v>46149</v>
      </c>
      <c r="AA5" s="86">
        <f t="shared" ca="1" si="4"/>
        <v>46150</v>
      </c>
      <c r="AB5" s="86">
        <f t="shared" ca="1" si="4"/>
        <v>46151</v>
      </c>
      <c r="AC5" s="87">
        <f t="shared" ca="1" si="4"/>
        <v>46152</v>
      </c>
      <c r="AD5" s="85">
        <f ca="1">AC5+1</f>
        <v>46153</v>
      </c>
      <c r="AE5" s="86">
        <f ca="1">AD5+1</f>
        <v>46154</v>
      </c>
      <c r="AF5" s="86">
        <f t="shared" ca="1" si="4"/>
        <v>46155</v>
      </c>
      <c r="AG5" s="86">
        <f t="shared" ca="1" si="4"/>
        <v>46156</v>
      </c>
      <c r="AH5" s="86">
        <f t="shared" ca="1" si="4"/>
        <v>46157</v>
      </c>
      <c r="AI5" s="86">
        <f t="shared" ca="1" si="4"/>
        <v>46158</v>
      </c>
      <c r="AJ5" s="87">
        <f t="shared" ca="1" si="4"/>
        <v>46159</v>
      </c>
      <c r="AK5" s="85">
        <f ca="1">AJ5+1</f>
        <v>46160</v>
      </c>
      <c r="AL5" s="86">
        <f ca="1">AK5+1</f>
        <v>46161</v>
      </c>
      <c r="AM5" s="86">
        <f t="shared" ca="1" si="4"/>
        <v>46162</v>
      </c>
      <c r="AN5" s="86">
        <f t="shared" ca="1" si="4"/>
        <v>46163</v>
      </c>
      <c r="AO5" s="86">
        <f t="shared" ca="1" si="4"/>
        <v>46164</v>
      </c>
      <c r="AP5" s="86">
        <f t="shared" ca="1" si="4"/>
        <v>46165</v>
      </c>
      <c r="AQ5" s="87">
        <f t="shared" ca="1" si="4"/>
        <v>46166</v>
      </c>
      <c r="AR5" s="85">
        <f ca="1">AQ5+1</f>
        <v>46167</v>
      </c>
      <c r="AS5" s="86">
        <f ca="1">AR5+1</f>
        <v>46168</v>
      </c>
      <c r="AT5" s="86">
        <f t="shared" ca="1" si="4"/>
        <v>46169</v>
      </c>
      <c r="AU5" s="86">
        <f t="shared" ca="1" si="4"/>
        <v>46170</v>
      </c>
      <c r="AV5" s="86">
        <f t="shared" ca="1" si="4"/>
        <v>46171</v>
      </c>
      <c r="AW5" s="86">
        <f t="shared" ca="1" si="4"/>
        <v>46172</v>
      </c>
      <c r="AX5" s="87">
        <f t="shared" ca="1" si="4"/>
        <v>46173</v>
      </c>
      <c r="AY5" s="85">
        <f ca="1">AX5+1</f>
        <v>46174</v>
      </c>
      <c r="AZ5" s="86">
        <f ca="1">AY5+1</f>
        <v>46175</v>
      </c>
      <c r="BA5" s="86">
        <f t="shared" ref="BA5:BE5" ca="1" si="5">AZ5+1</f>
        <v>46176</v>
      </c>
      <c r="BB5" s="86">
        <f t="shared" ca="1" si="5"/>
        <v>46177</v>
      </c>
      <c r="BC5" s="86">
        <f t="shared" ca="1" si="5"/>
        <v>46178</v>
      </c>
      <c r="BD5" s="86">
        <f t="shared" ca="1" si="5"/>
        <v>46179</v>
      </c>
      <c r="BE5" s="87">
        <f t="shared" ca="1" si="5"/>
        <v>46180</v>
      </c>
      <c r="BF5" s="85">
        <f ca="1">BE5+1</f>
        <v>46181</v>
      </c>
      <c r="BG5" s="86">
        <f ca="1">BF5+1</f>
        <v>46182</v>
      </c>
      <c r="BH5" s="86">
        <f t="shared" ref="BH5:BL5" ca="1" si="6">BG5+1</f>
        <v>46183</v>
      </c>
      <c r="BI5" s="86">
        <f t="shared" ca="1" si="6"/>
        <v>46184</v>
      </c>
      <c r="BJ5" s="86">
        <f t="shared" ca="1" si="6"/>
        <v>46185</v>
      </c>
      <c r="BK5" s="86">
        <f t="shared" ca="1" si="6"/>
        <v>46186</v>
      </c>
      <c r="BL5" s="87">
        <f t="shared" ca="1" si="6"/>
        <v>46187</v>
      </c>
      <c r="BM5" s="87">
        <f t="shared" ref="BM5" ca="1" si="7">BL5+1</f>
        <v>46188</v>
      </c>
      <c r="BN5" s="87">
        <f t="shared" ref="BN5" ca="1" si="8">BM5+1</f>
        <v>46189</v>
      </c>
      <c r="BO5" s="87">
        <f t="shared" ref="BO5" ca="1" si="9">BN5+1</f>
        <v>46190</v>
      </c>
      <c r="BP5" s="87">
        <f t="shared" ref="BP5" ca="1" si="10">BO5+1</f>
        <v>46191</v>
      </c>
      <c r="BQ5" s="87">
        <f t="shared" ref="BQ5" ca="1" si="11">BP5+1</f>
        <v>46192</v>
      </c>
      <c r="BR5" s="87">
        <f t="shared" ref="BR5" ca="1" si="12">BQ5+1</f>
        <v>46193</v>
      </c>
      <c r="BS5" s="87">
        <f t="shared" ref="BS5" ca="1" si="13">BR5+1</f>
        <v>46194</v>
      </c>
      <c r="BT5" s="87">
        <f t="shared" ref="BT5" ca="1" si="14">BS5+1</f>
        <v>46195</v>
      </c>
      <c r="BU5" s="87">
        <f t="shared" ref="BU5" ca="1" si="15">BT5+1</f>
        <v>46196</v>
      </c>
      <c r="BV5" s="87">
        <f t="shared" ref="BV5" ca="1" si="16">BU5+1</f>
        <v>46197</v>
      </c>
      <c r="BW5" s="87">
        <f t="shared" ref="BW5" ca="1" si="17">BV5+1</f>
        <v>46198</v>
      </c>
      <c r="BX5" s="87">
        <f t="shared" ref="BX5" ca="1" si="18">BW5+1</f>
        <v>46199</v>
      </c>
      <c r="BY5" s="87">
        <f t="shared" ref="BY5" ca="1" si="19">BX5+1</f>
        <v>46200</v>
      </c>
      <c r="BZ5" s="87">
        <f t="shared" ref="BZ5" ca="1" si="20">BY5+1</f>
        <v>46201</v>
      </c>
      <c r="CA5" s="87">
        <f t="shared" ref="CA5" ca="1" si="21">BZ5+1</f>
        <v>46202</v>
      </c>
      <c r="CB5" s="87">
        <f t="shared" ref="CB5" ca="1" si="22">CA5+1</f>
        <v>46203</v>
      </c>
      <c r="CC5" s="87">
        <f t="shared" ref="CC5" ca="1" si="23">CB5+1</f>
        <v>46204</v>
      </c>
      <c r="CD5" s="87">
        <f t="shared" ref="CD5" ca="1" si="24">CC5+1</f>
        <v>46205</v>
      </c>
      <c r="CE5" s="87">
        <f t="shared" ref="CE5" ca="1" si="25">CD5+1</f>
        <v>46206</v>
      </c>
      <c r="CF5" s="87">
        <f t="shared" ref="CF5" ca="1" si="26">CE5+1</f>
        <v>46207</v>
      </c>
      <c r="CG5" s="87">
        <f t="shared" ref="CG5" ca="1" si="27">CF5+1</f>
        <v>46208</v>
      </c>
      <c r="CH5" s="87">
        <f t="shared" ref="CH5" ca="1" si="28">CG5+1</f>
        <v>46209</v>
      </c>
      <c r="CI5" s="87">
        <f t="shared" ref="CI5" ca="1" si="29">CH5+1</f>
        <v>46210</v>
      </c>
      <c r="CJ5" s="87">
        <f t="shared" ref="CJ5" ca="1" si="30">CI5+1</f>
        <v>46211</v>
      </c>
      <c r="CK5" s="87">
        <f t="shared" ref="CK5" ca="1" si="31">CJ5+1</f>
        <v>46212</v>
      </c>
      <c r="CL5" s="87">
        <f t="shared" ref="CL5" ca="1" si="32">CK5+1</f>
        <v>46213</v>
      </c>
      <c r="CM5" s="87">
        <f t="shared" ref="CM5" ca="1" si="33">CL5+1</f>
        <v>46214</v>
      </c>
      <c r="CN5" s="87">
        <f t="shared" ref="CN5" ca="1" si="34">CM5+1</f>
        <v>46215</v>
      </c>
      <c r="CO5" s="87">
        <f t="shared" ref="CO5" ca="1" si="35">CN5+1</f>
        <v>46216</v>
      </c>
      <c r="CP5" s="87">
        <f t="shared" ref="CP5" ca="1" si="36">CO5+1</f>
        <v>46217</v>
      </c>
      <c r="CQ5" s="87">
        <f t="shared" ref="CQ5" ca="1" si="37">CP5+1</f>
        <v>46218</v>
      </c>
      <c r="CR5" s="87">
        <f t="shared" ref="CR5" ca="1" si="38">CQ5+1</f>
        <v>46219</v>
      </c>
      <c r="CS5" s="87">
        <f t="shared" ref="CS5" ca="1" si="39">CR5+1</f>
        <v>46220</v>
      </c>
      <c r="CT5" s="87">
        <f t="shared" ref="CT5" ca="1" si="40">CS5+1</f>
        <v>46221</v>
      </c>
      <c r="CU5" s="87">
        <f t="shared" ref="CU5" ca="1" si="41">CT5+1</f>
        <v>46222</v>
      </c>
    </row>
    <row r="6" spans="1:99" ht="30" customHeight="1" thickBot="1" x14ac:dyDescent="0.35">
      <c r="A6" s="46" t="s">
        <v>5</v>
      </c>
      <c r="B6" s="8" t="s">
        <v>14</v>
      </c>
      <c r="C6" s="9" t="s">
        <v>24</v>
      </c>
      <c r="D6" s="9" t="s">
        <v>26</v>
      </c>
      <c r="E6" s="9" t="s">
        <v>27</v>
      </c>
      <c r="F6" s="9" t="s">
        <v>29</v>
      </c>
      <c r="G6" s="9"/>
      <c r="H6" s="9" t="s">
        <v>30</v>
      </c>
      <c r="I6" s="10" t="str">
        <f t="shared" ref="I6:AN6" ca="1" si="42">LEFT(TEXT(I5,"jjj"),1)</f>
        <v>l</v>
      </c>
      <c r="J6" s="10" t="str">
        <f t="shared" ca="1" si="42"/>
        <v>m</v>
      </c>
      <c r="K6" s="10" t="str">
        <f t="shared" ca="1" si="42"/>
        <v>m</v>
      </c>
      <c r="L6" s="10" t="str">
        <f t="shared" ca="1" si="42"/>
        <v>j</v>
      </c>
      <c r="M6" s="10" t="str">
        <f t="shared" ca="1" si="42"/>
        <v>v</v>
      </c>
      <c r="N6" s="10" t="str">
        <f t="shared" ca="1" si="42"/>
        <v>s</v>
      </c>
      <c r="O6" s="10" t="str">
        <f t="shared" ca="1" si="42"/>
        <v>d</v>
      </c>
      <c r="P6" s="10" t="str">
        <f t="shared" ca="1" si="42"/>
        <v>l</v>
      </c>
      <c r="Q6" s="10" t="str">
        <f t="shared" ca="1" si="42"/>
        <v>m</v>
      </c>
      <c r="R6" s="10" t="str">
        <f t="shared" ca="1" si="42"/>
        <v>m</v>
      </c>
      <c r="S6" s="10" t="str">
        <f t="shared" ca="1" si="42"/>
        <v>j</v>
      </c>
      <c r="T6" s="10" t="str">
        <f t="shared" ca="1" si="42"/>
        <v>v</v>
      </c>
      <c r="U6" s="10" t="str">
        <f t="shared" ca="1" si="42"/>
        <v>s</v>
      </c>
      <c r="V6" s="10" t="str">
        <f t="shared" ca="1" si="42"/>
        <v>d</v>
      </c>
      <c r="W6" s="10" t="str">
        <f t="shared" ca="1" si="42"/>
        <v>l</v>
      </c>
      <c r="X6" s="10" t="str">
        <f t="shared" ca="1" si="42"/>
        <v>m</v>
      </c>
      <c r="Y6" s="10" t="str">
        <f t="shared" ca="1" si="42"/>
        <v>m</v>
      </c>
      <c r="Z6" s="10" t="str">
        <f t="shared" ca="1" si="42"/>
        <v>j</v>
      </c>
      <c r="AA6" s="10" t="str">
        <f t="shared" ca="1" si="42"/>
        <v>v</v>
      </c>
      <c r="AB6" s="10" t="str">
        <f t="shared" ca="1" si="42"/>
        <v>s</v>
      </c>
      <c r="AC6" s="10" t="str">
        <f t="shared" ca="1" si="42"/>
        <v>d</v>
      </c>
      <c r="AD6" s="10" t="str">
        <f t="shared" ca="1" si="42"/>
        <v>l</v>
      </c>
      <c r="AE6" s="10" t="str">
        <f t="shared" ca="1" si="42"/>
        <v>m</v>
      </c>
      <c r="AF6" s="10" t="str">
        <f t="shared" ca="1" si="42"/>
        <v>m</v>
      </c>
      <c r="AG6" s="10" t="str">
        <f t="shared" ca="1" si="42"/>
        <v>j</v>
      </c>
      <c r="AH6" s="10" t="str">
        <f t="shared" ca="1" si="42"/>
        <v>v</v>
      </c>
      <c r="AI6" s="10" t="str">
        <f t="shared" ca="1" si="42"/>
        <v>s</v>
      </c>
      <c r="AJ6" s="10" t="str">
        <f t="shared" ca="1" si="42"/>
        <v>d</v>
      </c>
      <c r="AK6" s="10" t="str">
        <f t="shared" ca="1" si="42"/>
        <v>l</v>
      </c>
      <c r="AL6" s="10" t="str">
        <f t="shared" ca="1" si="42"/>
        <v>m</v>
      </c>
      <c r="AM6" s="10" t="str">
        <f t="shared" ca="1" si="42"/>
        <v>m</v>
      </c>
      <c r="AN6" s="10" t="str">
        <f t="shared" ca="1" si="42"/>
        <v>j</v>
      </c>
      <c r="AO6" s="10" t="str">
        <f t="shared" ref="AO6:CU6" ca="1" si="43">LEFT(TEXT(AO5,"jjj"),1)</f>
        <v>v</v>
      </c>
      <c r="AP6" s="10" t="str">
        <f t="shared" ca="1" si="43"/>
        <v>s</v>
      </c>
      <c r="AQ6" s="10" t="str">
        <f t="shared" ca="1" si="43"/>
        <v>d</v>
      </c>
      <c r="AR6" s="10" t="str">
        <f t="shared" ca="1" si="43"/>
        <v>l</v>
      </c>
      <c r="AS6" s="10" t="str">
        <f t="shared" ca="1" si="43"/>
        <v>m</v>
      </c>
      <c r="AT6" s="10" t="str">
        <f t="shared" ca="1" si="43"/>
        <v>m</v>
      </c>
      <c r="AU6" s="10" t="str">
        <f t="shared" ca="1" si="43"/>
        <v>j</v>
      </c>
      <c r="AV6" s="10" t="str">
        <f t="shared" ca="1" si="43"/>
        <v>v</v>
      </c>
      <c r="AW6" s="10" t="str">
        <f t="shared" ca="1" si="43"/>
        <v>s</v>
      </c>
      <c r="AX6" s="10" t="str">
        <f t="shared" ca="1" si="43"/>
        <v>d</v>
      </c>
      <c r="AY6" s="10" t="str">
        <f t="shared" ca="1" si="43"/>
        <v>l</v>
      </c>
      <c r="AZ6" s="10" t="str">
        <f t="shared" ca="1" si="43"/>
        <v>m</v>
      </c>
      <c r="BA6" s="10" t="str">
        <f t="shared" ca="1" si="43"/>
        <v>m</v>
      </c>
      <c r="BB6" s="10" t="str">
        <f t="shared" ca="1" si="43"/>
        <v>j</v>
      </c>
      <c r="BC6" s="10" t="str">
        <f t="shared" ca="1" si="43"/>
        <v>v</v>
      </c>
      <c r="BD6" s="10" t="str">
        <f t="shared" ca="1" si="43"/>
        <v>s</v>
      </c>
      <c r="BE6" s="10" t="str">
        <f t="shared" ca="1" si="43"/>
        <v>d</v>
      </c>
      <c r="BF6" s="10" t="str">
        <f t="shared" ca="1" si="43"/>
        <v>l</v>
      </c>
      <c r="BG6" s="10" t="str">
        <f t="shared" ca="1" si="43"/>
        <v>m</v>
      </c>
      <c r="BH6" s="10" t="str">
        <f t="shared" ca="1" si="43"/>
        <v>m</v>
      </c>
      <c r="BI6" s="10" t="str">
        <f t="shared" ca="1" si="43"/>
        <v>j</v>
      </c>
      <c r="BJ6" s="10" t="str">
        <f t="shared" ca="1" si="43"/>
        <v>v</v>
      </c>
      <c r="BK6" s="10" t="str">
        <f t="shared" ca="1" si="43"/>
        <v>s</v>
      </c>
      <c r="BL6" s="10" t="str">
        <f t="shared" ca="1" si="43"/>
        <v>d</v>
      </c>
      <c r="BM6" s="10" t="str">
        <f t="shared" ca="1" si="43"/>
        <v>l</v>
      </c>
      <c r="BN6" s="10" t="str">
        <f t="shared" ca="1" si="43"/>
        <v>m</v>
      </c>
      <c r="BO6" s="10" t="str">
        <f t="shared" ca="1" si="43"/>
        <v>m</v>
      </c>
      <c r="BP6" s="10" t="str">
        <f t="shared" ca="1" si="43"/>
        <v>j</v>
      </c>
      <c r="BQ6" s="10" t="str">
        <f t="shared" ca="1" si="43"/>
        <v>v</v>
      </c>
      <c r="BR6" s="10" t="str">
        <f t="shared" ca="1" si="43"/>
        <v>s</v>
      </c>
      <c r="BS6" s="10" t="str">
        <f t="shared" ca="1" si="43"/>
        <v>d</v>
      </c>
      <c r="BT6" s="10" t="str">
        <f t="shared" ca="1" si="43"/>
        <v>l</v>
      </c>
      <c r="BU6" s="10" t="str">
        <f t="shared" ca="1" si="43"/>
        <v>m</v>
      </c>
      <c r="BV6" s="10" t="str">
        <f t="shared" ca="1" si="43"/>
        <v>m</v>
      </c>
      <c r="BW6" s="10" t="str">
        <f t="shared" ca="1" si="43"/>
        <v>j</v>
      </c>
      <c r="BX6" s="10" t="str">
        <f t="shared" ca="1" si="43"/>
        <v>v</v>
      </c>
      <c r="BY6" s="10" t="str">
        <f t="shared" ca="1" si="43"/>
        <v>s</v>
      </c>
      <c r="BZ6" s="10" t="str">
        <f t="shared" ca="1" si="43"/>
        <v>d</v>
      </c>
      <c r="CA6" s="10" t="str">
        <f t="shared" ca="1" si="43"/>
        <v>l</v>
      </c>
      <c r="CB6" s="10" t="str">
        <f t="shared" ca="1" si="43"/>
        <v>m</v>
      </c>
      <c r="CC6" s="10" t="str">
        <f t="shared" ca="1" si="43"/>
        <v>m</v>
      </c>
      <c r="CD6" s="10" t="str">
        <f t="shared" ca="1" si="43"/>
        <v>j</v>
      </c>
      <c r="CE6" s="10" t="str">
        <f t="shared" ca="1" si="43"/>
        <v>v</v>
      </c>
      <c r="CF6" s="10" t="str">
        <f t="shared" ca="1" si="43"/>
        <v>s</v>
      </c>
      <c r="CG6" s="10" t="str">
        <f t="shared" ca="1" si="43"/>
        <v>d</v>
      </c>
      <c r="CH6" s="10" t="str">
        <f t="shared" ca="1" si="43"/>
        <v>l</v>
      </c>
      <c r="CI6" s="10" t="str">
        <f t="shared" ca="1" si="43"/>
        <v>m</v>
      </c>
      <c r="CJ6" s="10" t="str">
        <f t="shared" ca="1" si="43"/>
        <v>m</v>
      </c>
      <c r="CK6" s="10" t="str">
        <f t="shared" ca="1" si="43"/>
        <v>j</v>
      </c>
      <c r="CL6" s="10" t="str">
        <f t="shared" ca="1" si="43"/>
        <v>v</v>
      </c>
      <c r="CM6" s="10" t="str">
        <f t="shared" ca="1" si="43"/>
        <v>s</v>
      </c>
      <c r="CN6" s="10" t="str">
        <f t="shared" ca="1" si="43"/>
        <v>d</v>
      </c>
      <c r="CO6" s="10" t="str">
        <f t="shared" ca="1" si="43"/>
        <v>l</v>
      </c>
      <c r="CP6" s="10" t="str">
        <f t="shared" ca="1" si="43"/>
        <v>m</v>
      </c>
      <c r="CQ6" s="10" t="str">
        <f t="shared" ca="1" si="43"/>
        <v>m</v>
      </c>
      <c r="CR6" s="10" t="str">
        <f t="shared" ca="1" si="43"/>
        <v>j</v>
      </c>
      <c r="CS6" s="10" t="str">
        <f t="shared" ca="1" si="43"/>
        <v>v</v>
      </c>
      <c r="CT6" s="10" t="str">
        <f t="shared" ca="1" si="43"/>
        <v>s</v>
      </c>
      <c r="CU6" s="10" t="str">
        <f t="shared" ca="1" si="43"/>
        <v>d</v>
      </c>
    </row>
    <row r="7" spans="1:99" ht="15" hidden="1" thickBot="1" x14ac:dyDescent="0.35">
      <c r="A7" s="45" t="s">
        <v>6</v>
      </c>
      <c r="C7" s="48"/>
      <c r="E7"/>
      <c r="H7" t="str">
        <f>IF(OR(ISBLANK(début_tâche),ISBLANK(fin_tâche)),"",fin_tâche-début_tâche+1)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99" s="3" customFormat="1" ht="30" customHeight="1" thickBot="1" x14ac:dyDescent="0.35">
      <c r="A8" s="46" t="s">
        <v>7</v>
      </c>
      <c r="B8" s="15" t="s">
        <v>49</v>
      </c>
      <c r="C8" s="52"/>
      <c r="D8" s="16"/>
      <c r="E8" s="70"/>
      <c r="F8" s="71"/>
      <c r="G8" s="14"/>
      <c r="H8" s="14" t="str">
        <f t="shared" ref="H8:H31" si="44">IF(OR(ISBLANK(début_tâche),ISBLANK(fin_tâche)),"",fin_tâche-début_tâche+1)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row>
    <row r="9" spans="1:99" s="3" customFormat="1" ht="30" customHeight="1" thickBot="1" x14ac:dyDescent="0.35">
      <c r="A9" s="46" t="s">
        <v>8</v>
      </c>
      <c r="B9" s="61" t="s">
        <v>50</v>
      </c>
      <c r="C9" s="53" t="s">
        <v>25</v>
      </c>
      <c r="D9" s="17">
        <v>1</v>
      </c>
      <c r="E9" s="72">
        <f ca="1">Début_Projet</f>
        <v>46132</v>
      </c>
      <c r="F9" s="72">
        <f ca="1">E9</f>
        <v>46132</v>
      </c>
      <c r="G9" s="14"/>
      <c r="H9" s="14">
        <f t="shared" ca="1" si="44"/>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row>
    <row r="10" spans="1:99" s="3" customFormat="1" ht="30" customHeight="1" thickBot="1" x14ac:dyDescent="0.35">
      <c r="A10" s="46" t="s">
        <v>9</v>
      </c>
      <c r="B10" s="61" t="s">
        <v>51</v>
      </c>
      <c r="C10" s="53"/>
      <c r="D10" s="17">
        <v>1</v>
      </c>
      <c r="E10" s="72">
        <f ca="1">F9+1</f>
        <v>46133</v>
      </c>
      <c r="F10" s="72">
        <f ca="1">E10+1</f>
        <v>46134</v>
      </c>
      <c r="G10" s="14"/>
      <c r="H10" s="14">
        <f t="shared" ca="1" si="44"/>
        <v>2</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row>
    <row r="11" spans="1:99" s="3" customFormat="1" ht="30" customHeight="1" thickBot="1" x14ac:dyDescent="0.35">
      <c r="A11" s="45"/>
      <c r="B11" s="61" t="s">
        <v>52</v>
      </c>
      <c r="C11" s="53"/>
      <c r="D11" s="17">
        <v>1</v>
      </c>
      <c r="E11" s="72">
        <f ca="1">F10</f>
        <v>46134</v>
      </c>
      <c r="F11" s="72">
        <f ca="1">E11+2</f>
        <v>46136</v>
      </c>
      <c r="G11" s="14"/>
      <c r="H11" s="14">
        <f t="shared" ca="1" si="44"/>
        <v>3</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row>
    <row r="12" spans="1:99" s="3" customFormat="1" ht="30" customHeight="1" thickBot="1" x14ac:dyDescent="0.35">
      <c r="A12" s="46" t="s">
        <v>10</v>
      </c>
      <c r="B12" s="18" t="s">
        <v>53</v>
      </c>
      <c r="C12" s="54"/>
      <c r="D12" s="19"/>
      <c r="E12" s="73"/>
      <c r="F12" s="74"/>
      <c r="G12" s="14"/>
      <c r="H12" s="14" t="str">
        <f t="shared" si="44"/>
        <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row>
    <row r="13" spans="1:99" s="3" customFormat="1" ht="30" customHeight="1" thickBot="1" x14ac:dyDescent="0.35">
      <c r="A13" s="46"/>
      <c r="B13" s="62" t="s">
        <v>54</v>
      </c>
      <c r="C13" s="55"/>
      <c r="D13" s="20">
        <v>1</v>
      </c>
      <c r="E13" s="75">
        <f ca="1">F11+3</f>
        <v>46139</v>
      </c>
      <c r="F13" s="75">
        <f ca="1">E13+2</f>
        <v>46141</v>
      </c>
      <c r="G13" s="14"/>
      <c r="H13" s="14">
        <f t="shared" ca="1" si="44"/>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row>
    <row r="14" spans="1:99" s="3" customFormat="1" ht="30" customHeight="1" thickBot="1" x14ac:dyDescent="0.35">
      <c r="A14" s="45"/>
      <c r="B14" s="21" t="s">
        <v>55</v>
      </c>
      <c r="C14" s="56"/>
      <c r="D14" s="22"/>
      <c r="E14" s="76"/>
      <c r="F14" s="77"/>
      <c r="G14" s="14"/>
      <c r="H14" s="14" t="str">
        <f t="shared" si="44"/>
        <v/>
      </c>
      <c r="I14" s="31"/>
      <c r="J14" s="31"/>
      <c r="K14" s="31"/>
      <c r="L14" s="31"/>
      <c r="M14" s="31"/>
      <c r="N14" s="31"/>
      <c r="O14" s="31"/>
      <c r="P14" s="31"/>
      <c r="Q14" s="31"/>
      <c r="R14" s="31"/>
      <c r="S14" s="31"/>
      <c r="T14" s="31"/>
      <c r="U14" s="32"/>
      <c r="V14" s="32"/>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row>
    <row r="15" spans="1:99" s="3" customFormat="1" ht="30" customHeight="1" thickBot="1" x14ac:dyDescent="0.35">
      <c r="A15" s="45"/>
      <c r="B15" s="95" t="s">
        <v>56</v>
      </c>
      <c r="C15" s="94"/>
      <c r="D15" s="96">
        <v>0</v>
      </c>
      <c r="E15" s="97">
        <f ca="1">F13+26</f>
        <v>46167</v>
      </c>
      <c r="F15" s="97">
        <f ca="1">E15+13</f>
        <v>46180</v>
      </c>
      <c r="G15" s="14"/>
      <c r="H15" s="14">
        <f t="shared" ca="1" si="44"/>
        <v>14</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row>
    <row r="16" spans="1:99" s="3" customFormat="1" ht="30" customHeight="1" thickBot="1" x14ac:dyDescent="0.35">
      <c r="A16" s="45"/>
      <c r="B16" s="98" t="s">
        <v>57</v>
      </c>
      <c r="C16" s="58"/>
      <c r="D16" s="25"/>
      <c r="E16" s="79"/>
      <c r="F16" s="80"/>
      <c r="G16" s="14"/>
      <c r="H16" s="14" t="str">
        <f t="shared" si="44"/>
        <v/>
      </c>
      <c r="I16" s="31"/>
      <c r="J16" s="31"/>
      <c r="K16" s="31"/>
      <c r="L16" s="31"/>
      <c r="M16" s="31"/>
      <c r="N16" s="31"/>
      <c r="O16" s="31"/>
      <c r="P16" s="31"/>
      <c r="Q16" s="31"/>
      <c r="R16" s="31"/>
      <c r="S16" s="31"/>
      <c r="T16" s="31"/>
      <c r="U16" s="31"/>
      <c r="V16" s="31"/>
      <c r="W16" s="31"/>
      <c r="X16" s="31"/>
      <c r="Y16" s="32"/>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row>
    <row r="17" spans="1:99" s="3" customFormat="1" ht="30" customHeight="1" thickBot="1" x14ac:dyDescent="0.35">
      <c r="A17" s="45"/>
      <c r="B17" s="104" t="s">
        <v>58</v>
      </c>
      <c r="C17" s="105"/>
      <c r="D17" s="106">
        <v>0</v>
      </c>
      <c r="E17" s="107">
        <f ca="1">E15</f>
        <v>46167</v>
      </c>
      <c r="F17" s="107">
        <f ca="1">E17+20</f>
        <v>46187</v>
      </c>
      <c r="G17" s="14"/>
      <c r="H17" s="14">
        <f t="shared" ca="1" si="44"/>
        <v>21</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row>
    <row r="18" spans="1:99" s="3" customFormat="1" ht="30" customHeight="1" thickBot="1" x14ac:dyDescent="0.35">
      <c r="A18" s="45" t="s">
        <v>11</v>
      </c>
      <c r="B18" s="104" t="s">
        <v>59</v>
      </c>
      <c r="C18" s="105"/>
      <c r="D18" s="106">
        <v>0</v>
      </c>
      <c r="E18" s="107">
        <f ca="1">F17+1</f>
        <v>46188</v>
      </c>
      <c r="F18" s="107">
        <f ca="1">E18+13</f>
        <v>46201</v>
      </c>
      <c r="G18" s="14"/>
      <c r="H18" s="14">
        <f t="shared" ca="1" si="44"/>
        <v>14</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row>
    <row r="19" spans="1:99" s="3" customFormat="1" ht="30" customHeight="1" thickBot="1" x14ac:dyDescent="0.35">
      <c r="A19" s="45"/>
      <c r="B19" s="104" t="s">
        <v>60</v>
      </c>
      <c r="C19" s="105"/>
      <c r="D19" s="106">
        <v>0</v>
      </c>
      <c r="E19" s="107">
        <f ca="1">F18+1</f>
        <v>46202</v>
      </c>
      <c r="F19" s="107">
        <f ca="1">E19+6</f>
        <v>46208</v>
      </c>
      <c r="G19" s="14"/>
      <c r="H19" s="14">
        <f t="shared" ca="1" si="44"/>
        <v>7</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row>
    <row r="20" spans="1:99" s="3" customFormat="1" ht="30" customHeight="1" thickBot="1" x14ac:dyDescent="0.35">
      <c r="A20" s="45"/>
      <c r="B20" s="99" t="s">
        <v>61</v>
      </c>
      <c r="C20" s="100"/>
      <c r="D20" s="101"/>
      <c r="E20" s="102"/>
      <c r="F20" s="103"/>
      <c r="G20" s="14"/>
      <c r="H20" s="14" t="str">
        <f t="shared" si="44"/>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row>
    <row r="21" spans="1:99" s="3" customFormat="1" ht="30" customHeight="1" thickBot="1" x14ac:dyDescent="0.35">
      <c r="A21" s="45"/>
      <c r="B21" s="63" t="s">
        <v>62</v>
      </c>
      <c r="C21" s="57"/>
      <c r="D21" s="23">
        <v>0</v>
      </c>
      <c r="E21" s="78">
        <f ca="1">F19+1</f>
        <v>46209</v>
      </c>
      <c r="F21" s="78">
        <f ca="1">E21+13</f>
        <v>46222</v>
      </c>
      <c r="G21" s="14"/>
      <c r="H21" s="14">
        <f t="shared" ca="1" si="44"/>
        <v>14</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row>
    <row r="22" spans="1:99" s="3" customFormat="1" ht="30" customHeight="1" thickBot="1" x14ac:dyDescent="0.35">
      <c r="A22" s="45"/>
      <c r="B22" s="108" t="s">
        <v>63</v>
      </c>
      <c r="C22" s="109"/>
      <c r="D22" s="110"/>
      <c r="E22" s="111"/>
      <c r="F22" s="112"/>
      <c r="G22" s="14"/>
      <c r="H22" s="14" t="str">
        <f t="shared" si="44"/>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row>
    <row r="23" spans="1:99" s="3" customFormat="1" ht="30" customHeight="1" thickBot="1" x14ac:dyDescent="0.35">
      <c r="A23" s="45"/>
      <c r="B23" s="113" t="s">
        <v>64</v>
      </c>
      <c r="C23" s="114"/>
      <c r="D23" s="115">
        <v>0</v>
      </c>
      <c r="E23" s="116">
        <f ca="1">E21+6</f>
        <v>46215</v>
      </c>
      <c r="F23" s="116">
        <f ca="1">E23+6</f>
        <v>46221</v>
      </c>
      <c r="G23" s="14"/>
      <c r="H23" s="14">
        <f t="shared" ca="1" si="44"/>
        <v>7</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row>
    <row r="24" spans="1:99" s="3" customFormat="1" ht="30" hidden="1" customHeight="1" thickBot="1" x14ac:dyDescent="0.35">
      <c r="A24" s="45" t="s">
        <v>11</v>
      </c>
      <c r="B24" s="24" t="s">
        <v>20</v>
      </c>
      <c r="C24" s="58"/>
      <c r="D24" s="25"/>
      <c r="E24" s="79"/>
      <c r="F24" s="80"/>
      <c r="G24" s="14"/>
      <c r="H24" s="14" t="str">
        <f t="shared" si="44"/>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row>
    <row r="25" spans="1:99" s="3" customFormat="1" ht="30" hidden="1" customHeight="1" thickBot="1" x14ac:dyDescent="0.35">
      <c r="A25" s="45"/>
      <c r="B25" s="104" t="s">
        <v>15</v>
      </c>
      <c r="C25" s="59"/>
      <c r="D25" s="26"/>
      <c r="E25" s="81" t="s">
        <v>28</v>
      </c>
      <c r="F25" s="81" t="s">
        <v>28</v>
      </c>
      <c r="G25" s="14"/>
      <c r="H25" s="14" t="e">
        <f t="shared" si="44"/>
        <v>#VALUE!</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row>
    <row r="26" spans="1:99" s="3" customFormat="1" ht="30" hidden="1" customHeight="1" thickBot="1" x14ac:dyDescent="0.35">
      <c r="A26" s="45"/>
      <c r="B26" s="64" t="s">
        <v>16</v>
      </c>
      <c r="C26" s="59"/>
      <c r="D26" s="26"/>
      <c r="E26" s="81" t="s">
        <v>28</v>
      </c>
      <c r="F26" s="81" t="s">
        <v>28</v>
      </c>
      <c r="G26" s="14"/>
      <c r="H26" s="14" t="e">
        <f t="shared" si="44"/>
        <v>#VALUE!</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row>
    <row r="27" spans="1:99" s="3" customFormat="1" ht="30" hidden="1" customHeight="1" thickBot="1" x14ac:dyDescent="0.35">
      <c r="A27" s="45"/>
      <c r="B27" s="64" t="s">
        <v>17</v>
      </c>
      <c r="C27" s="59"/>
      <c r="D27" s="26"/>
      <c r="E27" s="81" t="s">
        <v>28</v>
      </c>
      <c r="F27" s="81" t="s">
        <v>28</v>
      </c>
      <c r="G27" s="14"/>
      <c r="H27" s="14" t="e">
        <f t="shared" si="44"/>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row>
    <row r="28" spans="1:99" s="3" customFormat="1" ht="30" hidden="1" customHeight="1" thickBot="1" x14ac:dyDescent="0.35">
      <c r="A28" s="45"/>
      <c r="B28" s="64" t="s">
        <v>18</v>
      </c>
      <c r="C28" s="59"/>
      <c r="D28" s="26"/>
      <c r="E28" s="81" t="s">
        <v>28</v>
      </c>
      <c r="F28" s="81" t="s">
        <v>28</v>
      </c>
      <c r="G28" s="14"/>
      <c r="H28" s="14" t="e">
        <f t="shared" si="44"/>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row>
    <row r="29" spans="1:99" s="3" customFormat="1" ht="30" hidden="1" customHeight="1" thickBot="1" x14ac:dyDescent="0.35">
      <c r="A29" s="45"/>
      <c r="B29" s="64" t="s">
        <v>19</v>
      </c>
      <c r="C29" s="59"/>
      <c r="D29" s="26"/>
      <c r="E29" s="81" t="s">
        <v>28</v>
      </c>
      <c r="F29" s="81" t="s">
        <v>28</v>
      </c>
      <c r="G29" s="14"/>
      <c r="H29" s="14" t="e">
        <f t="shared" si="44"/>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row>
    <row r="30" spans="1:99" s="3" customFormat="1" ht="30" customHeight="1" thickBot="1" x14ac:dyDescent="0.35">
      <c r="A30" s="45" t="s">
        <v>12</v>
      </c>
      <c r="B30" s="65"/>
      <c r="C30" s="60"/>
      <c r="D30" s="13"/>
      <c r="E30" s="82"/>
      <c r="F30" s="82"/>
      <c r="G30" s="14"/>
      <c r="H30" s="14" t="str">
        <f t="shared" si="44"/>
        <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row>
    <row r="31" spans="1:99" s="3" customFormat="1" ht="30" customHeight="1" thickBot="1" x14ac:dyDescent="0.35">
      <c r="A31" s="46" t="s">
        <v>13</v>
      </c>
      <c r="B31" s="27" t="s">
        <v>21</v>
      </c>
      <c r="C31" s="28"/>
      <c r="D31" s="29"/>
      <c r="E31" s="83"/>
      <c r="F31" s="84"/>
      <c r="G31" s="30"/>
      <c r="H31" s="30" t="str">
        <f t="shared" si="44"/>
        <v/>
      </c>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row>
    <row r="32" spans="1:99" ht="30" customHeight="1" x14ac:dyDescent="0.3">
      <c r="G32" s="6"/>
    </row>
    <row r="33" spans="3:6" ht="30" customHeight="1" x14ac:dyDescent="0.3">
      <c r="C33" s="11"/>
      <c r="F33" s="47"/>
    </row>
    <row r="34" spans="3:6" ht="30" customHeight="1" x14ac:dyDescent="0.3">
      <c r="C34" s="12"/>
    </row>
  </sheetData>
  <mergeCells count="16">
    <mergeCell ref="BM4:BS4"/>
    <mergeCell ref="BT4:BZ4"/>
    <mergeCell ref="CA4:CG4"/>
    <mergeCell ref="CH4:CN4"/>
    <mergeCell ref="CO4:CU4"/>
    <mergeCell ref="C3:D3"/>
    <mergeCell ref="C4:D4"/>
    <mergeCell ref="AK4:AQ4"/>
    <mergeCell ref="AR4:AX4"/>
    <mergeCell ref="AY4:BE4"/>
    <mergeCell ref="BF4:BL4"/>
    <mergeCell ref="E3:F3"/>
    <mergeCell ref="I4:O4"/>
    <mergeCell ref="P4:V4"/>
    <mergeCell ref="W4:AC4"/>
    <mergeCell ref="AD4:AJ4"/>
  </mergeCells>
  <phoneticPr fontId="37" type="noConversion"/>
  <conditionalFormatting sqref="D7:D13 D15 D17:D19 D21 D23:D31">
    <cfRule type="dataBar" priority="1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BM5:CU6 I5:BL31 BM8:CU31">
    <cfRule type="expression" dxfId="5" priority="37">
      <formula>AND(TODAY()&gt;=I$5,TODAY()&lt;J$5)</formula>
    </cfRule>
  </conditionalFormatting>
  <conditionalFormatting sqref="I7:BL31 BM8:CU31">
    <cfRule type="expression" dxfId="4" priority="31">
      <formula>AND(début_tâche&lt;=I$5,ROUNDDOWN((fin_tâche-début_tâche+1)*avancement_tâche,0)+début_tâche-1&gt;=I$5)</formula>
    </cfRule>
    <cfRule type="expression" dxfId="3" priority="32" stopIfTrue="1">
      <formula>AND(fin_tâche&gt;=I$5,début_tâche&lt;J$5)</formula>
    </cfRule>
  </conditionalFormatting>
  <conditionalFormatting sqref="D14">
    <cfRule type="dataBar" priority="4">
      <dataBar>
        <cfvo type="num" val="0"/>
        <cfvo type="num" val="1"/>
        <color theme="0" tint="-0.249977111117893"/>
      </dataBar>
      <extLst>
        <ext xmlns:x14="http://schemas.microsoft.com/office/spreadsheetml/2009/9/main" uri="{B025F937-C7B1-47D3-B67F-A62EFF666E3E}">
          <x14:id>{978C8B60-E27A-4FD6-B34E-F0E61A05AA45}</x14:id>
        </ext>
      </extLst>
    </cfRule>
  </conditionalFormatting>
  <conditionalFormatting sqref="D16">
    <cfRule type="dataBar" priority="3">
      <dataBar>
        <cfvo type="num" val="0"/>
        <cfvo type="num" val="1"/>
        <color theme="0" tint="-0.249977111117893"/>
      </dataBar>
      <extLst>
        <ext xmlns:x14="http://schemas.microsoft.com/office/spreadsheetml/2009/9/main" uri="{B025F937-C7B1-47D3-B67F-A62EFF666E3E}">
          <x14:id>{3D31DB8B-D625-4B5C-8E76-80EF8C853F2F}</x14:id>
        </ext>
      </extLst>
    </cfRule>
  </conditionalFormatting>
  <conditionalFormatting sqref="D20">
    <cfRule type="dataBar" priority="2">
      <dataBar>
        <cfvo type="num" val="0"/>
        <cfvo type="num" val="1"/>
        <color theme="0" tint="-0.249977111117893"/>
      </dataBar>
      <extLst>
        <ext xmlns:x14="http://schemas.microsoft.com/office/spreadsheetml/2009/9/main" uri="{B025F937-C7B1-47D3-B67F-A62EFF666E3E}">
          <x14:id>{38DB279C-3E26-4917-A632-59190995C045}</x14:id>
        </ext>
      </extLst>
    </cfRule>
  </conditionalFormatting>
  <conditionalFormatting sqref="D22">
    <cfRule type="dataBar" priority="1">
      <dataBar>
        <cfvo type="num" val="0"/>
        <cfvo type="num" val="1"/>
        <color theme="0" tint="-0.249977111117893"/>
      </dataBar>
      <extLst>
        <ext xmlns:x14="http://schemas.microsoft.com/office/spreadsheetml/2009/9/main" uri="{B025F937-C7B1-47D3-B67F-A62EFF666E3E}">
          <x14:id>{521FDD1B-F403-45C9-A889-2350FE63DDE1}</x14:id>
        </ext>
      </extLst>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rowBreaks count="1" manualBreakCount="1">
    <brk id="30" max="16383" man="1"/>
  </rowBreaks>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D7:D13 D15 D17:D19 D21 D23:D31</xm:sqref>
        </x14:conditionalFormatting>
        <x14:conditionalFormatting xmlns:xm="http://schemas.microsoft.com/office/excel/2006/main">
          <x14:cfRule type="dataBar" id="{978C8B60-E27A-4FD6-B34E-F0E61A05AA45}">
            <x14:dataBar minLength="0" maxLength="100" gradient="0">
              <x14:cfvo type="num">
                <xm:f>0</xm:f>
              </x14:cfvo>
              <x14:cfvo type="num">
                <xm:f>1</xm:f>
              </x14:cfvo>
              <x14:negativeFillColor rgb="FFFF0000"/>
              <x14:axisColor rgb="FF000000"/>
            </x14:dataBar>
          </x14:cfRule>
          <xm:sqref>D14</xm:sqref>
        </x14:conditionalFormatting>
        <x14:conditionalFormatting xmlns:xm="http://schemas.microsoft.com/office/excel/2006/main">
          <x14:cfRule type="dataBar" id="{3D31DB8B-D625-4B5C-8E76-80EF8C853F2F}">
            <x14:dataBar minLength="0" maxLength="100" gradient="0">
              <x14:cfvo type="num">
                <xm:f>0</xm:f>
              </x14:cfvo>
              <x14:cfvo type="num">
                <xm:f>1</xm:f>
              </x14:cfvo>
              <x14:negativeFillColor rgb="FFFF0000"/>
              <x14:axisColor rgb="FF000000"/>
            </x14:dataBar>
          </x14:cfRule>
          <xm:sqref>D16</xm:sqref>
        </x14:conditionalFormatting>
        <x14:conditionalFormatting xmlns:xm="http://schemas.microsoft.com/office/excel/2006/main">
          <x14:cfRule type="dataBar" id="{38DB279C-3E26-4917-A632-59190995C045}">
            <x14:dataBar minLength="0" maxLength="100" gradient="0">
              <x14:cfvo type="num">
                <xm:f>0</xm:f>
              </x14:cfvo>
              <x14:cfvo type="num">
                <xm:f>1</xm:f>
              </x14:cfvo>
              <x14:negativeFillColor rgb="FFFF0000"/>
              <x14:axisColor rgb="FF000000"/>
            </x14:dataBar>
          </x14:cfRule>
          <xm:sqref>D20</xm:sqref>
        </x14:conditionalFormatting>
        <x14:conditionalFormatting xmlns:xm="http://schemas.microsoft.com/office/excel/2006/main">
          <x14:cfRule type="dataBar" id="{521FDD1B-F403-45C9-A889-2350FE63DDE1}">
            <x14:dataBar minLength="0" maxLength="100" gradient="0">
              <x14:cfvo type="num">
                <xm:f>0</xm:f>
              </x14:cfvo>
              <x14:cfvo type="num">
                <xm:f>1</xm:f>
              </x14:cfvo>
              <x14:negativeFillColor rgb="FFFF0000"/>
              <x14:axisColor rgb="FF000000"/>
            </x14:dataBar>
          </x14:cfRule>
          <xm:sqref>D22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90.6640625" style="35" customWidth="1"/>
    <col min="2" max="16384" width="9.109375" style="2"/>
  </cols>
  <sheetData>
    <row r="1" spans="1:2" ht="46.5" customHeight="1" x14ac:dyDescent="0.3"/>
    <row r="2" spans="1:2" s="37" customFormat="1" ht="15.6" x14ac:dyDescent="0.3">
      <c r="A2" s="36" t="s">
        <v>31</v>
      </c>
      <c r="B2" s="36"/>
    </row>
    <row r="3" spans="1:2" s="41" customFormat="1" ht="27" customHeight="1" x14ac:dyDescent="0.3">
      <c r="A3" s="69" t="s">
        <v>32</v>
      </c>
      <c r="B3" s="42"/>
    </row>
    <row r="4" spans="1:2" s="38" customFormat="1" ht="25.8" x14ac:dyDescent="0.5">
      <c r="A4" s="39" t="s">
        <v>33</v>
      </c>
    </row>
    <row r="5" spans="1:2" ht="74.099999999999994" customHeight="1" x14ac:dyDescent="0.3">
      <c r="A5" s="40" t="s">
        <v>34</v>
      </c>
    </row>
    <row r="6" spans="1:2" ht="26.25" customHeight="1" x14ac:dyDescent="0.3">
      <c r="A6" s="39" t="s">
        <v>35</v>
      </c>
    </row>
    <row r="7" spans="1:2" s="35" customFormat="1" ht="204.9" customHeight="1" x14ac:dyDescent="0.3">
      <c r="A7" s="44" t="s">
        <v>36</v>
      </c>
    </row>
    <row r="8" spans="1:2" s="38" customFormat="1" ht="25.8" x14ac:dyDescent="0.5">
      <c r="A8" s="39" t="s">
        <v>37</v>
      </c>
    </row>
    <row r="9" spans="1:2" ht="57.6" x14ac:dyDescent="0.3">
      <c r="A9" s="40" t="s">
        <v>38</v>
      </c>
    </row>
    <row r="10" spans="1:2" s="35" customFormat="1" ht="27.9" customHeight="1" x14ac:dyDescent="0.3">
      <c r="A10" s="43" t="s">
        <v>39</v>
      </c>
    </row>
    <row r="11" spans="1:2" s="38" customFormat="1" ht="25.8" x14ac:dyDescent="0.5">
      <c r="A11" s="39" t="s">
        <v>40</v>
      </c>
    </row>
    <row r="12" spans="1:2" ht="28.8" x14ac:dyDescent="0.3">
      <c r="A12" s="40" t="s">
        <v>41</v>
      </c>
    </row>
    <row r="13" spans="1:2" s="35" customFormat="1" ht="27.9" customHeight="1" x14ac:dyDescent="0.3">
      <c r="A13" s="43" t="s">
        <v>42</v>
      </c>
    </row>
    <row r="14" spans="1:2" s="38" customFormat="1" ht="25.8" x14ac:dyDescent="0.5">
      <c r="A14" s="39" t="s">
        <v>43</v>
      </c>
    </row>
    <row r="15" spans="1:2" ht="88.5" customHeight="1" x14ac:dyDescent="0.3">
      <c r="A15" s="40" t="s">
        <v>44</v>
      </c>
    </row>
    <row r="16" spans="1:2" ht="96.75" customHeight="1" x14ac:dyDescent="0.3">
      <c r="A16" s="40" t="s">
        <v>45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2026-04-28T13:39:27Z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